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/Relationships>
</file>

<file path=xl/workbook.xml><?xml version="1.0" encoding="UTF-8" standalone="yes"?>
<workbook xmlns="http://schemas.openxmlformats.org/spreadsheetml/2006/main">
  <sheets><sheet name="FCF Model" sheetId="1" r:id="rId1"/>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ORION LIGHTING SYSTEMS - FCF Valuation</t>
        </is>
      </c>
    </row>
    <row r="2"/>
    <row r="3">
      <c r="A3" t="inlineStr">
        <is>
          <t/>
        </is>
      </c>
      <c r="B3" t="inlineStr">
        <is>
          <t>Year 0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t="inlineStr">
        <is>
          <t>Revenue ($M)</t>
        </is>
      </c>
      <c r="B4" t="str">
        <f>0</f>
        <v/>
      </c>
      <c r="C4">
        <v>18</v>
      </c>
      <c r="D4">
        <v>20.16</v>
      </c>
      <c r="E4">
        <v>22.58</v>
      </c>
      <c r="F4">
        <v>25.29</v>
      </c>
      <c r="G4">
        <v>28.32</v>
      </c>
    </row>
    <row r="5">
      <c r="A5" t="inlineStr">
        <is>
          <t>Revenue Growth %</t>
        </is>
      </c>
      <c r="C5">
        <v>0.12</v>
      </c>
      <c r="D5">
        <v>0.12</v>
      </c>
      <c r="E5">
        <v>0.12</v>
      </c>
      <c r="F5">
        <v>0.12</v>
      </c>
      <c r="G5">
        <v>0.12</v>
      </c>
    </row>
    <row r="6">
      <c r="A6" t="inlineStr">
        <is>
          <t>Operating Costs 55% ($M)</t>
        </is>
      </c>
      <c r="C6">
        <v>9.9</v>
      </c>
      <c r="D6">
        <v>11.09</v>
      </c>
      <c r="E6">
        <v>12.42</v>
      </c>
      <c r="F6">
        <v>13.91</v>
      </c>
      <c r="G6">
        <v>15.58</v>
      </c>
    </row>
    <row r="7">
      <c r="A7" t="inlineStr">
        <is>
          <t>Depreciation ($M)</t>
        </is>
      </c>
      <c r="C7">
        <v>4.4</v>
      </c>
      <c r="D7">
        <v>4.4</v>
      </c>
      <c r="E7">
        <v>4.4</v>
      </c>
      <c r="F7">
        <v>4.4</v>
      </c>
      <c r="G7">
        <v>4.4</v>
      </c>
    </row>
    <row r="8">
      <c r="A8" t="inlineStr">
        <is>
          <t>EBIT ($M)</t>
        </is>
      </c>
      <c r="C8">
        <v>3.7</v>
      </c>
      <c r="D8">
        <v>4.67</v>
      </c>
      <c r="E8">
        <v>5.76</v>
      </c>
      <c r="F8">
        <v>6.98</v>
      </c>
      <c r="G8">
        <v>8.35</v>
      </c>
    </row>
    <row r="9">
      <c r="A9" t="inlineStr">
        <is>
          <t>NOPAT @ 30% ($M)</t>
        </is>
      </c>
      <c r="C9">
        <v>2.59</v>
      </c>
      <c r="D9">
        <v>3.27</v>
      </c>
      <c r="E9">
        <v>4.03</v>
      </c>
      <c r="F9">
        <v>4.89</v>
      </c>
      <c r="G9">
        <v>5.84</v>
      </c>
    </row>
    <row r="10">
      <c r="A10" t="inlineStr">
        <is>
          <t>Working Capital ($M)</t>
        </is>
      </c>
      <c r="B10">
        <v>1.8</v>
      </c>
      <c r="C10">
        <v>2.02</v>
      </c>
      <c r="D10">
        <v>2.26</v>
      </c>
      <c r="E10">
        <v>2.53</v>
      </c>
      <c r="F10">
        <v>2.83</v>
      </c>
      <c r="G10">
        <v>0</v>
      </c>
    </row>
    <row r="11">
      <c r="A11" t="inlineStr">
        <is>
          <t>Change in WC ($M)</t>
        </is>
      </c>
      <c r="B11">
        <v>-1.8</v>
      </c>
      <c r="C11">
        <v>-0.22</v>
      </c>
      <c r="D11">
        <v>-0.24</v>
      </c>
      <c r="E11">
        <v>-0.27</v>
      </c>
      <c r="F11">
        <v>-0.3</v>
      </c>
      <c r="G11">
        <v>2.83</v>
      </c>
    </row>
    <row r="12">
      <c r="A12" t="inlineStr">
        <is>
          <t>Capex ($M)</t>
        </is>
      </c>
      <c r="B12">
        <v>-30</v>
      </c>
    </row>
    <row r="13">
      <c r="A13" t="inlineStr">
        <is>
          <t>Free Cash Flow ($M)</t>
        </is>
      </c>
      <c r="B13">
        <v>-30</v>
      </c>
      <c r="C13">
        <v>6.77</v>
      </c>
      <c r="D13">
        <v>7.43</v>
      </c>
      <c r="E13">
        <v>8.16</v>
      </c>
      <c r="F13">
        <v>8.99</v>
      </c>
      <c r="G13">
        <v>18.67</v>
      </c>
    </row>
    <row r="14">
      <c r="A14" t="inlineStr">
        <is>
          <t>Discount Factor 11%</t>
        </is>
      </c>
      <c r="B14">
        <v>1</v>
      </c>
      <c r="C14">
        <v>0.901</v>
      </c>
      <c r="D14">
        <v>0.812</v>
      </c>
      <c r="E14">
        <v>0.731</v>
      </c>
      <c r="F14">
        <v>0.659</v>
      </c>
      <c r="G14">
        <v>0.593</v>
      </c>
    </row>
    <row r="15">
      <c r="A15" t="inlineStr">
        <is>
          <t>PV of FCF ($M)</t>
        </is>
      </c>
      <c r="B15">
        <v>-30</v>
      </c>
      <c r="C15">
        <v>6.1</v>
      </c>
      <c r="D15">
        <v>6.03</v>
      </c>
      <c r="E15">
        <v>5.97</v>
      </c>
      <c r="F15">
        <v>5.92</v>
      </c>
      <c r="G15">
        <v>11.07</v>
      </c>
    </row>
    <row r="16">
      <c r="A16" t="inlineStr">
        <is>
          <t>Cumulative PV ($M)</t>
        </is>
      </c>
      <c r="B16">
        <v>-30</v>
      </c>
      <c r="C16">
        <v>-23.9</v>
      </c>
      <c r="D16">
        <v>-17.87</v>
      </c>
      <c r="E16">
        <v>-11.9</v>
      </c>
      <c r="F16">
        <v>-5.98</v>
      </c>
      <c r="G16">
        <v>5.09</v>
      </c>
    </row>
    <row r="17"/>
    <row r="18">
      <c r="A18" t="inlineStr">
        <is>
          <t>NPV ($M)</t>
        </is>
      </c>
      <c r="B18">
        <v>5.09</v>
      </c>
    </row>
    <row r="19">
      <c r="A19" t="inlineStr">
        <is>
          <t>IRR</t>
        </is>
      </c>
      <c r="B19" t="inlineStr">
        <is>
          <t>18.5%</t>
        </is>
      </c>
    </row>
    <row r="20">
      <c r="A20" t="inlineStr">
        <is>
          <t>Profitability Index</t>
        </is>
      </c>
      <c r="B20">
        <v>1.17</v>
      </c>
    </row>
    <row r="21">
      <c r="A21" t="inlineStr">
        <is>
          <t>Payback (years)</t>
        </is>
      </c>
      <c r="B21">
        <v>3.5</v>
      </c>
    </row>
    <row r="22"/>
    <row r="23">
      <c r="A23" t="inlineStr">
        <is>
          <t>Terminal Value:</t>
        </is>
      </c>
    </row>
    <row r="24">
      <c r="A24" t="inlineStr">
        <is>
          <t>After-tax Salvage</t>
        </is>
      </c>
      <c r="G24">
        <v>5.6</v>
      </c>
    </row>
    <row r="25">
      <c r="A25" t="inlineStr">
        <is>
          <t>WC Recovery</t>
        </is>
      </c>
      <c r="G25">
        <v>2.83</v>
      </c>
    </row>
    <row r="26">
      <c r="A26" t="inlineStr">
        <is>
          <t>Total</t>
        </is>
      </c>
      <c r="G26">
        <v>8.43</v>
      </c>
    </row>
  </sheetData>
</worksheet>
</file>