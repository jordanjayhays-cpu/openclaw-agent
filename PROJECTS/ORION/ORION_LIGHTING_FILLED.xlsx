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iebs-my.sharepoint.com/personal/conchita_martin_ie_edu/Documents/CMB/00000-2026 CORE1 CORPORATE FINANCE/03-BUILDING FREE CASH FLOWS/ORION LIGHTING/"/>
    </mc:Choice>
  </mc:AlternateContent>
  <xr:revisionPtr revIDLastSave="0" documentId="14_{AB6A2245-01B6-45D0-AB9F-30A3379275F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2" r:id="rId1"/>
    <sheet name="FCF_Summary" sheetId="3" r:id="rId2"/>
    <sheet name="Depreciation" sheetId="4" r:id="rId3"/>
    <sheet name="Working_Capital" sheetId="5" r:id="rId4"/>
    <sheet name="Liquidation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<sst xmlns="http://schemas.openxmlformats.org/spreadsheetml/2006/main" count="62" uniqueCount="45">
  <si>
    <t>Item</t>
  </si>
  <si>
    <t>Value</t>
  </si>
  <si>
    <t>Initial investment (Year 0)</t>
  </si>
  <si>
    <t>Salvage value (end of Year 5)</t>
  </si>
  <si>
    <t>Project life (years)</t>
  </si>
  <si>
    <t>Corporate tax rate</t>
  </si>
  <si>
    <t>Cost of capital (WACC)</t>
  </si>
  <si>
    <t>Year 1 revenue</t>
  </si>
  <si>
    <t>Revenue annual growth rate</t>
  </si>
  <si>
    <t>Operating costs (% of revenue)</t>
  </si>
  <si>
    <t>Working capital (% of revenue)</t>
  </si>
  <si>
    <t>Line item</t>
  </si>
  <si>
    <t>Year 0</t>
  </si>
  <si>
    <t>Year 1</t>
  </si>
  <si>
    <t>Year 2</t>
  </si>
  <si>
    <t>Year 3</t>
  </si>
  <si>
    <t>Year 4</t>
  </si>
  <si>
    <t>Year 5</t>
  </si>
  <si>
    <t>Revenue</t>
  </si>
  <si>
    <t>Operating costs (55% of revenue)</t>
  </si>
  <si>
    <t>Depreciation</t>
  </si>
  <si>
    <t>EBIT</t>
  </si>
  <si>
    <t>Taxes @ 30%</t>
  </si>
  <si>
    <t>NOPLAT</t>
  </si>
  <si>
    <t>Depreciation add-back</t>
  </si>
  <si>
    <t>Capex</t>
  </si>
  <si>
    <t>Change in working capital (ΔWC)</t>
  </si>
  <si>
    <t>Free Cash Flow (FCF)</t>
  </si>
  <si>
    <t>Discount factor</t>
  </si>
  <si>
    <t>PV of FCF</t>
  </si>
  <si>
    <t>Opening book value</t>
  </si>
  <si>
    <t>Closing book value</t>
  </si>
  <si>
    <t>WC balance (10% of rev)</t>
  </si>
  <si>
    <t>Change in WC (ΔWC)</t>
  </si>
  <si>
    <t>After-tax salvage value (Year 5)</t>
  </si>
  <si>
    <t>Recovery of working capital (Year 5)</t>
  </si>
  <si>
    <t>Total liquidation value in Year 5</t>
  </si>
  <si>
    <t>Orion Lighting – Project Valuation Template</t>
  </si>
  <si>
    <t>Total liquidation in year 5</t>
  </si>
  <si>
    <t>Recommended Investment Decision</t>
  </si>
  <si>
    <t>INPUTS</t>
  </si>
  <si>
    <t>NPV (computed)</t>
  </si>
  <si>
    <t>IRR (computed)</t>
  </si>
  <si>
    <t>Profitability Index (PI)</t>
  </si>
  <si>
    <t>Payback period (years)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</si>
</sst>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#,##0\ &quot;€&quot;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right" vertical="center"/>
    </xf>
    <xf numFmtId="164" fontId="0" fillId="3" borderId="1" xfId="1" applyNumberFormat="1" applyFont="1" applyFill="1" applyBorder="1" applyAlignment="1">
      <alignment horizontal="right" vertical="center"/>
    </xf>
    <xf numFmtId="9" fontId="0" fillId="3" borderId="1" xfId="2" applyFont="1" applyFill="1" applyBorder="1" applyAlignment="1">
      <alignment horizontal="right" vertical="center"/>
    </xf>
    <xf numFmtId="164" fontId="1" fillId="2" borderId="1" xfId="1" applyNumberFormat="1" applyFont="1" applyFill="1" applyBorder="1" applyAlignment="1">
      <alignment horizontal="center" vertical="center"/>
    </xf>
    <xf numFmtId="164" fontId="0" fillId="0" borderId="0" xfId="1" applyNumberFormat="1" applyFont="1"/>
    <xf numFmtId="164" fontId="1" fillId="2" borderId="1" xfId="0" applyNumberFormat="1" applyFont="1" applyFill="1" applyBorder="1" applyAlignment="1">
      <alignment horizontal="center" vertical="center"/>
    </xf>
    <xf numFmtId="9" fontId="0" fillId="0" borderId="0" xfId="0" applyNumberFormat="1"/>
    <xf numFmtId="0" fontId="0" fillId="3" borderId="0" xfId="0" applyFill="1" applyAlignment="1">
      <alignment horizontal="left" vertical="center"/>
    </xf>
    <xf numFmtId="0" fontId="3" fillId="3" borderId="1" xfId="0" applyFont="1" applyFill="1" applyBorder="1" applyAlignment="1">
      <alignment horizontal="left"/>
    </xf>
    <xf numFmtId="165" fontId="0" fillId="3" borderId="1" xfId="0" applyNumberForma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0" fontId="0" fillId="0" borderId="0" xfId="2" applyNumberFormat="1" applyFont="1"/>
    <xf numFmtId="2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tabSelected="1" topLeftCell="A3" workbookViewId="0">
      <selection activeCell="B13" sqref="B13"/>
    </sheetView>
  </sheetViews>
  <sheetFormatPr baseColWidth="10" defaultColWidth="8.7265625" defaultRowHeight="14.5" x14ac:dyDescent="0.35"/>
  <cols>
    <col min="1" max="1" width="30" customWidth="1"/>
    <col min="2" max="2" width="14.6328125" bestFit="1" customWidth="1"/>
  </cols>
  <sheetData>
    <row r="1" spans="1:2" x14ac:dyDescent="0.35">
      <c r="A1" s="1" t="s">
        <v>37</v>
      </c>
      <c r="B1" s="1" t="s">
        <v>1</v>
      </c>
    </row>
    <row r="2" spans="1:2" x14ac:dyDescent="0.35">
      <c r="A2" s="2" t="s">
        <v>2</v>
      </c>
      <c r="B2" s="4">
        <v>30000000</v>
      </c>
    </row>
    <row r="3" spans="1:2" x14ac:dyDescent="0.35">
      <c r="A3" s="1" t="s">
        <v>40</v>
      </c>
      <c r="B3" s="1"/>
    </row>
    <row r="4" spans="1:2" x14ac:dyDescent="0.35">
      <c r="A4" s="2"/>
      <c r="B4" s="4"/>
    </row>
    <row r="5" spans="1:2" x14ac:dyDescent="0.35">
      <c r="A5" s="2" t="s">
        <v>3</v>
      </c>
      <c r="B5" s="4">
        <v>8000000</v>
      </c>
    </row>
    <row r="6" spans="1:2" x14ac:dyDescent="0.35">
      <c r="A6" s="2" t="s">
        <v>4</v>
      </c>
      <c r="B6" s="4">
        <v>5</v>
      </c>
    </row>
    <row r="7" spans="1:2" x14ac:dyDescent="0.35">
      <c r="A7" s="2" t="s">
        <v>5</v>
      </c>
      <c r="B7" s="5">
        <v>0.3</v>
      </c>
    </row>
    <row r="8" spans="1:2" x14ac:dyDescent="0.35">
      <c r="A8" s="2" t="s">
        <v>6</v>
      </c>
      <c r="B8" s="5">
        <v>0.11</v>
      </c>
    </row>
    <row r="9" spans="1:2" x14ac:dyDescent="0.35">
      <c r="A9" s="2" t="s">
        <v>7</v>
      </c>
      <c r="B9" s="4">
        <v>18000000</v>
      </c>
    </row>
    <row r="10" spans="1:2" x14ac:dyDescent="0.35">
      <c r="A10" s="2" t="s">
        <v>8</v>
      </c>
      <c r="B10" s="5">
        <v>0.12</v>
      </c>
    </row>
    <row r="11" spans="1:2" x14ac:dyDescent="0.35">
      <c r="A11" s="2" t="s">
        <v>9</v>
      </c>
      <c r="B11" s="5">
        <v>0.55000000000000004</v>
      </c>
    </row>
    <row r="12" spans="1:2" x14ac:dyDescent="0.35">
      <c r="A12" s="2" t="s">
        <v>10</v>
      </c>
      <c r="B12" s="5">
        <v>0.1</v>
      </c>
    </row>
    <row r="13" spans="1:2" x14ac:dyDescent="0.35">
      <c r="A13" s="11" t="s">
        <v>41</v>
      </c>
      <c r="B13">
        <f>Sheet2!B17+SUM(Sheet2!C17:G17)</f>
        <v>0</v>
      </c>
    </row>
    <row r="14" spans="1:2" x14ac:dyDescent="0.35">
      <c r="A14" s="13" t="s">
        <v>42</v>
      </c>
      <c r="B14">
        <f>IRR(Sheet2!B13:G13)</f>
        <v>0</v>
      </c>
    </row>
    <row r="15" spans="1:2" x14ac:dyDescent="0.35">
      <c r="A15" s="13" t="s">
        <v>43</v>
      </c>
      <c r="B15">
        <f>(B13+Sheet1!$B$2)/Sheet1!$B$2</f>
        <v>0</v>
      </c>
    </row>
    <row r="16" spans="1:2" x14ac:dyDescent="0.35">
      <c r="A16" s="13" t="s">
        <v>44</v>
      </c>
      <c r="B16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topLeftCell="A3" workbookViewId="0">
      <selection activeCell="B17" sqref="B17"/>
    </sheetView>
  </sheetViews>
  <sheetFormatPr baseColWidth="10" defaultColWidth="8.7265625" defaultRowHeight="14.5" x14ac:dyDescent="0.35"/>
  <cols>
    <col min="1" max="1" width="30" customWidth="1"/>
    <col min="2" max="2" width="11.1796875" bestFit="1" customWidth="1"/>
    <col min="3" max="6" width="12.7265625" bestFit="1" customWidth="1"/>
    <col min="7" max="7" width="13.6328125" bestFit="1" customWidth="1"/>
  </cols>
  <sheetData>
    <row r="1" spans="1:8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8" x14ac:dyDescent="0.35">
      <c r="A2" s="2"/>
      <c r="B2" s="3"/>
      <c r="C2" s="3"/>
      <c r="D2" s="3"/>
      <c r="E2" s="3"/>
      <c r="F2" s="3"/>
      <c r="G2" s="3"/>
    </row>
    <row r="3" spans="1:8" x14ac:dyDescent="0.35">
      <c r="A3" s="2" t="s">
        <v>18</v>
      </c>
      <c r="C3">
        <f>Sheet1!$B$9</f>
        <v>0</v>
      </c>
      <c r="D3">
        <f>C3*(1+Sheet1!$B$10)</f>
        <v>0</v>
      </c>
      <c r="E3">
        <f>D3*(1+Sheet1!$B$10)</f>
        <v>0</v>
      </c>
      <c r="F3">
        <f>E3*(1+Sheet1!$B$10)</f>
        <v>0</v>
      </c>
      <c r="G3">
        <f>F3*(1+Sheet1!$B$10)</f>
        <v>0</v>
      </c>
      <c r="H3" s="4"/>
    </row>
    <row r="4" spans="1:8" x14ac:dyDescent="0.35">
      <c r="A4" s="2" t="s">
        <v>19</v>
      </c>
      <c r="C4">
        <f>C3*Sheet1!$B$11</f>
        <v>0</v>
      </c>
      <c r="D4">
        <f>D3*Sheet1!$B$11</f>
        <v>0</v>
      </c>
      <c r="E4">
        <f>E3*Sheet1!$B$11</f>
        <v>0</v>
      </c>
      <c r="F4">
        <f>F3*Sheet1!$B$11</f>
        <v>0</v>
      </c>
      <c r="G4">
        <f>G3*Sheet1!$B$11</f>
        <v>0</v>
      </c>
      <c r="H4" s="4"/>
    </row>
    <row r="5" spans="1:8" x14ac:dyDescent="0.35">
      <c r="A5" s="2" t="s">
        <v>20</v>
      </c>
      <c r="C5">
        <f>(Sheet1!$B$2-Sheet1!$B$3)/Sheet1!$B$4</f>
        <v>0</v>
      </c>
      <c r="D5">
        <f>(Sheet1!$B$2-Sheet1!$B$3)/Sheet1!$B$4</f>
        <v>0</v>
      </c>
      <c r="E5">
        <f>(Sheet1!$B$2-Sheet1!$B$3)/Sheet1!$B$4</f>
        <v>0</v>
      </c>
      <c r="F5">
        <f>(Sheet1!$B$2-Sheet1!$B$3)/Sheet1!$B$4</f>
        <v>0</v>
      </c>
      <c r="G5">
        <f>(Sheet1!$B$2-Sheet1!$B$3)/Sheet1!$B$4</f>
        <v>0</v>
      </c>
      <c r="H5" s="4"/>
    </row>
    <row r="6" spans="1:8" x14ac:dyDescent="0.35">
      <c r="A6" s="2" t="s">
        <v>21</v>
      </c>
      <c r="B6" s="4"/>
      <c r="C6">
        <f>C3+C4+C5</f>
        <v>0</v>
      </c>
      <c r="D6">
        <f>D3+D4+D5</f>
        <v>0</v>
      </c>
      <c r="E6">
        <f>E3+E4+E5</f>
        <v>0</v>
      </c>
      <c r="F6">
        <f>F3+F4+F5</f>
        <v>0</v>
      </c>
      <c r="G6">
        <f>G3+G4+G5</f>
        <v>0</v>
      </c>
    </row>
    <row r="7" spans="1:8" x14ac:dyDescent="0.35">
      <c r="A7" s="2" t="s">
        <v>22</v>
      </c>
      <c r="B7" s="4"/>
      <c r="C7">
        <f>C6*Sheet1!$B$5</f>
        <v>0</v>
      </c>
      <c r="D7">
        <f>D6*Sheet1!$B$5</f>
        <v>0</v>
      </c>
      <c r="E7">
        <f>E6*Sheet1!$B$5</f>
        <v>0</v>
      </c>
      <c r="F7">
        <f>F6*Sheet1!$B$5</f>
        <v>0</v>
      </c>
      <c r="G7">
        <f>G6*Sheet1!$B$5</f>
        <v>0</v>
      </c>
    </row>
    <row r="8" spans="1:8" x14ac:dyDescent="0.35">
      <c r="A8" s="1" t="s">
        <v>23</v>
      </c>
      <c r="B8" s="1"/>
      <c r="C8">
        <f>C6+C7</f>
        <v>0</v>
      </c>
      <c r="D8">
        <f>D6+D7</f>
        <v>0</v>
      </c>
      <c r="E8">
        <f>E6+E7</f>
        <v>0</v>
      </c>
      <c r="F8">
        <f>F6+F7</f>
        <v>0</v>
      </c>
      <c r="G8">
        <f>G6+G7</f>
        <v>0</v>
      </c>
    </row>
    <row r="9" spans="1:8" x14ac:dyDescent="0.35">
      <c r="A9" s="2" t="s">
        <v>24</v>
      </c>
      <c r="B9" s="4"/>
      <c r="C9">
        <f>C5</f>
        <v>0</v>
      </c>
      <c r="D9">
        <f>D5</f>
        <v>0</v>
      </c>
      <c r="E9">
        <f>E5</f>
        <v>0</v>
      </c>
      <c r="F9">
        <f>F5</f>
        <v>0</v>
      </c>
      <c r="G9">
        <f>G5</f>
        <v>0</v>
      </c>
    </row>
    <row r="10" spans="1:8" x14ac:dyDescent="0.35">
      <c r="A10" s="2" t="s">
        <v>25</v>
      </c>
      <c r="B10">
        <f>-Sheet1!$B$2</f>
        <v>0</v>
      </c>
      <c r="C10">
        <f>0</f>
        <v>0</v>
      </c>
      <c r="D10">
        <f>0</f>
        <v>0</v>
      </c>
      <c r="E10">
        <f>0</f>
        <v>0</v>
      </c>
      <c r="F10">
        <f>0</f>
        <v>0</v>
      </c>
      <c r="G10">
        <f>0</f>
        <v>0</v>
      </c>
    </row>
    <row r="11" spans="1:8" x14ac:dyDescent="0.35">
      <c r="A11" s="2" t="s">
        <v>26</v>
      </c>
      <c r="B11">
        <f>0</f>
        <v>0</v>
      </c>
      <c r="C11">
        <f>-C3*Sheet1!$B$10</f>
        <v>0</v>
      </c>
      <c r="D11">
        <f>-(D3-C3)*Sheet1!$B$10</f>
        <v>0</v>
      </c>
      <c r="E11">
        <f>-(E3-D3)*Sheet1!$B$10</f>
        <v>0</v>
      </c>
      <c r="F11">
        <f>-(F3-E3)*Sheet1!$B$10</f>
        <v>0</v>
      </c>
      <c r="G11">
        <f>-(G3-F3)*Sheet1!$B$10</f>
        <v>0</v>
      </c>
    </row>
    <row r="12" spans="1:8" x14ac:dyDescent="0.35">
      <c r="A12" s="10" t="s">
        <v>38</v>
      </c>
      <c r="G12" s="7"/>
    </row>
    <row r="13" spans="1:8" x14ac:dyDescent="0.35">
      <c r="A13" s="1" t="s">
        <v>27</v>
      </c>
      <c r="B13">
        <f>B8+B9+B10+B11</f>
        <v>0</v>
      </c>
      <c r="C13">
        <f>C8+C9+C10+C11</f>
        <v>0</v>
      </c>
      <c r="D13">
        <f>D8+D9+D10+D11</f>
        <v>0</v>
      </c>
      <c r="E13">
        <f>E8+E9+E10+E11</f>
        <v>0</v>
      </c>
      <c r="F13">
        <f>F8+F9+F10+F11</f>
        <v>0</v>
      </c>
      <c r="G13">
        <f>G8+G9+G10+G11</f>
        <v>0</v>
      </c>
    </row>
    <row r="14" spans="1:8" x14ac:dyDescent="0.35">
      <c r="C14" s="4"/>
      <c r="D14" s="4"/>
      <c r="E14" s="4"/>
      <c r="F14" s="4"/>
      <c r="G14" s="4"/>
    </row>
    <row r="15" spans="1:8" x14ac:dyDescent="0.35">
      <c r="A15" s="2" t="s">
        <v>28</v>
      </c>
      <c r="B15">
        <f>1</f>
        <v>0</v>
      </c>
    </row>
    <row r="17" spans="1:2" x14ac:dyDescent="0.35">
      <c r="A17" s="1" t="s">
        <v>29</v>
      </c>
      <c r="B17">
        <f>B13*B15</f>
        <v>0</v>
      </c>
    </row>
    <row r="19" spans="1:2" x14ac:dyDescent="0.35">
      <c r="A1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:G5"/>
    </sheetView>
  </sheetViews>
  <sheetFormatPr baseColWidth="10" defaultColWidth="8.7265625" defaultRowHeight="14.5" x14ac:dyDescent="0.35"/>
  <cols>
    <col min="1" max="1" width="20" customWidth="1"/>
    <col min="2" max="2" width="15.6328125" bestFit="1" customWidth="1"/>
    <col min="3" max="7" width="12.7265625" bestFit="1" customWidth="1"/>
  </cols>
  <sheetData>
    <row r="1" spans="1:7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7" x14ac:dyDescent="0.35">
      <c r="A2" s="2"/>
      <c r="B2" s="3"/>
      <c r="C2" s="3"/>
      <c r="D2" s="3"/>
      <c r="E2" s="3"/>
      <c r="F2" s="3"/>
      <c r="G2" s="3"/>
    </row>
    <row r="3" spans="1:7" x14ac:dyDescent="0.35">
      <c r="A3" s="2" t="s">
        <v>30</v>
      </c>
      <c r="B3" s="4"/>
      <c r="C3" s="4"/>
      <c r="D3" s="4"/>
      <c r="E3" s="4"/>
      <c r="F3" s="4"/>
      <c r="G3" s="4"/>
    </row>
    <row r="4" spans="1:7" x14ac:dyDescent="0.35">
      <c r="A4" s="6" t="s">
        <v>20</v>
      </c>
      <c r="B4" s="6"/>
      <c r="C4" s="6"/>
      <c r="D4" s="6"/>
      <c r="E4" s="6"/>
      <c r="F4" s="6"/>
      <c r="G4" s="6"/>
    </row>
    <row r="5" spans="1:7" x14ac:dyDescent="0.35">
      <c r="A5" s="2" t="s">
        <v>31</v>
      </c>
      <c r="B5" s="4"/>
      <c r="C5" s="4"/>
      <c r="D5" s="4"/>
      <c r="E5" s="4"/>
      <c r="F5" s="4"/>
      <c r="G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workbookViewId="0">
      <selection activeCell="B3" sqref="B3:G5"/>
    </sheetView>
  </sheetViews>
  <sheetFormatPr baseColWidth="10" defaultColWidth="8.7265625" defaultRowHeight="14.5" x14ac:dyDescent="0.35"/>
  <cols>
    <col min="1" max="1" width="25" customWidth="1"/>
    <col min="2" max="2" width="8" customWidth="1"/>
    <col min="3" max="3" width="12.7265625" bestFit="1" customWidth="1"/>
    <col min="4" max="7" width="11.26953125" bestFit="1" customWidth="1"/>
  </cols>
  <sheetData>
    <row r="1" spans="1:9" x14ac:dyDescent="0.35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9" x14ac:dyDescent="0.35">
      <c r="A2" s="2"/>
      <c r="B2" s="4"/>
      <c r="C2" s="4"/>
      <c r="D2" s="4"/>
      <c r="E2" s="4"/>
      <c r="F2" s="4"/>
      <c r="G2" s="4"/>
      <c r="H2" s="7"/>
      <c r="I2" s="7"/>
    </row>
    <row r="3" spans="1:9" x14ac:dyDescent="0.35">
      <c r="A3" s="2" t="s">
        <v>18</v>
      </c>
      <c r="B3" s="7"/>
      <c r="C3" s="7"/>
      <c r="D3" s="7"/>
      <c r="E3" s="7"/>
      <c r="F3" s="7"/>
      <c r="G3" s="7"/>
      <c r="H3" s="7"/>
      <c r="I3" s="7"/>
    </row>
    <row r="4" spans="1:9" x14ac:dyDescent="0.35">
      <c r="A4" s="2" t="s">
        <v>32</v>
      </c>
      <c r="B4" s="7"/>
      <c r="C4" s="7"/>
      <c r="D4" s="7"/>
      <c r="E4" s="7"/>
      <c r="F4" s="7"/>
      <c r="G4" s="7"/>
      <c r="H4" s="7"/>
      <c r="I4" s="7"/>
    </row>
    <row r="5" spans="1:9" x14ac:dyDescent="0.35">
      <c r="A5" s="1" t="s">
        <v>33</v>
      </c>
      <c r="B5" s="1"/>
      <c r="C5" s="6"/>
      <c r="D5" s="6"/>
      <c r="E5" s="6"/>
      <c r="F5" s="6"/>
      <c r="G5" s="6"/>
      <c r="H5" s="7"/>
      <c r="I5" s="7"/>
    </row>
    <row r="6" spans="1:9" x14ac:dyDescent="0.35">
      <c r="B6" s="7"/>
      <c r="C6" s="7"/>
      <c r="D6" s="7"/>
      <c r="E6" s="7"/>
      <c r="F6" s="7"/>
      <c r="G6" s="7"/>
      <c r="H6" s="7"/>
      <c r="I6" s="7"/>
    </row>
    <row r="13" spans="1:9" x14ac:dyDescent="0.35">
      <c r="A13" s="3"/>
      <c r="B13" s="3"/>
      <c r="C13" s="3"/>
    </row>
    <row r="14" spans="1:9" x14ac:dyDescent="0.35">
      <c r="A14" s="3"/>
      <c r="B14" s="3"/>
      <c r="C14" s="3"/>
    </row>
    <row r="15" spans="1:9" x14ac:dyDescent="0.35">
      <c r="A15" s="3"/>
      <c r="B15" s="3"/>
      <c r="C1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selection activeCell="B2" sqref="B2:B4"/>
    </sheetView>
  </sheetViews>
  <sheetFormatPr baseColWidth="10" defaultColWidth="8.7265625" defaultRowHeight="14.5" x14ac:dyDescent="0.35"/>
  <cols>
    <col min="1" max="1" width="32.26953125" customWidth="1"/>
    <col min="2" max="2" width="14.9062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34</v>
      </c>
      <c r="B2" s="4"/>
    </row>
    <row r="3" spans="1:2" x14ac:dyDescent="0.35">
      <c r="A3" s="2" t="s">
        <v>35</v>
      </c>
      <c r="B3" s="4"/>
    </row>
    <row r="4" spans="1:2" x14ac:dyDescent="0.35">
      <c r="A4" s="1" t="s">
        <v>36</v>
      </c>
      <c r="B4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Inputs</vt:lpstr>
      <vt:lpstr>FCF_Summary</vt:lpstr>
      <vt:lpstr>Depreciation</vt:lpstr>
      <vt:lpstr>Working_Capital</vt:lpstr>
      <vt:lpstr>Liquidation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Concepcion Martin Berzal</dc:creator>
  <cp:lastModifiedBy>Concepcion Martin Berzal</cp:lastModifiedBy>
  <dcterms:created xsi:type="dcterms:W3CDTF">2025-12-02T17:24:18Z</dcterms:created>
  <dcterms:modified xsi:type="dcterms:W3CDTF">2025-12-10T17:19:27Z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742207-f172-4f87-acf3-9b9d90861219_Enabled">
    <vt:lpwstr>true</vt:lpwstr>
  </property>
  <property fmtid="{D5CDD505-2E9C-101B-9397-08002B2CF9AE}" pid="3" name="MSIP_Label_8b742207-f172-4f87-acf3-9b9d90861219_SetDate">
    <vt:lpwstr>2025-12-03T14:21:29Z</vt:lpwstr>
  </property>
  <property fmtid="{D5CDD505-2E9C-101B-9397-08002B2CF9AE}" pid="4" name="MSIP_Label_8b742207-f172-4f87-acf3-9b9d90861219_Method">
    <vt:lpwstr>Standard</vt:lpwstr>
  </property>
  <property fmtid="{D5CDD505-2E9C-101B-9397-08002B2CF9AE}" pid="5" name="MSIP_Label_8b742207-f172-4f87-acf3-9b9d90861219_Name">
    <vt:lpwstr>Internal</vt:lpwstr>
  </property>
  <property fmtid="{D5CDD505-2E9C-101B-9397-08002B2CF9AE}" pid="6" name="MSIP_Label_8b742207-f172-4f87-acf3-9b9d90861219_SiteId">
    <vt:lpwstr>4a39c578-6df0-42b9-a7e0-e9eac6d91816</vt:lpwstr>
  </property>
  <property fmtid="{D5CDD505-2E9C-101B-9397-08002B2CF9AE}" pid="7" name="MSIP_Label_8b742207-f172-4f87-acf3-9b9d90861219_ActionId">
    <vt:lpwstr>4e9041ea-7333-4513-b584-ee035156d913</vt:lpwstr>
  </property>
  <property fmtid="{D5CDD505-2E9C-101B-9397-08002B2CF9AE}" pid="8" name="MSIP_Label_8b742207-f172-4f87-acf3-9b9d90861219_ContentBits">
    <vt:lpwstr>0</vt:lpwstr>
  </property>
  <property fmtid="{D5CDD505-2E9C-101B-9397-08002B2CF9AE}" pid="9" name="MSIP_Label_8b742207-f172-4f87-acf3-9b9d90861219_Tag">
    <vt:lpwstr>10, 3, 0, 1</vt:lpwstr>
  </property>
</Properties>
</file>